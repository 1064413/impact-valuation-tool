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lih\OneDrive\Documenten\impact_valuation_tool\"/>
    </mc:Choice>
  </mc:AlternateContent>
  <xr:revisionPtr revIDLastSave="0" documentId="13_ncr:1_{03A90E56-F97E-42F4-AB18-69E68024E371}" xr6:coauthVersionLast="47" xr6:coauthVersionMax="47" xr10:uidLastSave="{00000000-0000-0000-0000-000000000000}"/>
  <bookViews>
    <workbookView xWindow="-108" yWindow="-108" windowWidth="23256" windowHeight="12456" activeTab="2" xr2:uid="{1DC9A217-8AAB-4977-BFB3-54E3881A8D53}"/>
  </bookViews>
  <sheets>
    <sheet name="Toelichting" sheetId="3" r:id="rId1"/>
    <sheet name="niveau1" sheetId="2" r:id="rId2"/>
    <sheet name="niveau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J17" i="2"/>
  <c r="K17" i="2"/>
  <c r="M17" i="2"/>
  <c r="E17" i="2"/>
  <c r="N55" i="1"/>
  <c r="L55" i="1"/>
  <c r="K55" i="1"/>
  <c r="I55" i="1"/>
  <c r="H55" i="1"/>
  <c r="F55" i="1"/>
</calcChain>
</file>

<file path=xl/sharedStrings.xml><?xml version="1.0" encoding="utf-8"?>
<sst xmlns="http://schemas.openxmlformats.org/spreadsheetml/2006/main" count="312" uniqueCount="161">
  <si>
    <t>rubrieknaam</t>
  </si>
  <si>
    <t>codenaam</t>
  </si>
  <si>
    <t>CATEGORIE</t>
  </si>
  <si>
    <t>Beschrijving</t>
  </si>
  <si>
    <t>RUBRIEK</t>
  </si>
  <si>
    <t>EENHEID</t>
  </si>
  <si>
    <t>Huisartsenzorg en Multidisciplinaire Zorg</t>
  </si>
  <si>
    <t>Bijzondere betalingen</t>
  </si>
  <si>
    <t>503</t>
  </si>
  <si>
    <t>Euro's</t>
  </si>
  <si>
    <t>Avond-, nacht- en weekenddiensten</t>
  </si>
  <si>
    <t>504</t>
  </si>
  <si>
    <t>Inschrijftarieven</t>
  </si>
  <si>
    <t>505</t>
  </si>
  <si>
    <t>Consulten</t>
  </si>
  <si>
    <t>506</t>
  </si>
  <si>
    <t>Overige tarieven</t>
  </si>
  <si>
    <t>507</t>
  </si>
  <si>
    <t>Multidisciplinaire zorg</t>
  </si>
  <si>
    <t>510</t>
  </si>
  <si>
    <t>Resultaatbeloning en zorgvernieuwing huisartsen</t>
  </si>
  <si>
    <t>515</t>
  </si>
  <si>
    <t>Resultaatbeloning en zorgvernieuwing MDZ</t>
  </si>
  <si>
    <t>516</t>
  </si>
  <si>
    <t>Meerkosten COVID-19, indirect</t>
  </si>
  <si>
    <t>Meerkosten COVID-19, toeslagen</t>
  </si>
  <si>
    <t>Farmaceutische zorg</t>
  </si>
  <si>
    <t>520</t>
  </si>
  <si>
    <t>Verpleging en Verzorging</t>
  </si>
  <si>
    <t>Verpleging en verzorging</t>
  </si>
  <si>
    <t>530</t>
  </si>
  <si>
    <t>803.1</t>
  </si>
  <si>
    <t>Mondzorg</t>
  </si>
  <si>
    <t>Mondzorg voor volwassen verzekerden</t>
  </si>
  <si>
    <t>560.1</t>
  </si>
  <si>
    <t>Mondzorg voor jeugdige verzekerden</t>
  </si>
  <si>
    <t>560.2</t>
  </si>
  <si>
    <t>Gebitsprothesen en implantaten</t>
  </si>
  <si>
    <t>561</t>
  </si>
  <si>
    <t>Verloskundige zorg</t>
  </si>
  <si>
    <t>Verloskundige zorg door verloskundigen</t>
  </si>
  <si>
    <t>580</t>
  </si>
  <si>
    <t>Integrale geboortezorg</t>
  </si>
  <si>
    <t>582</t>
  </si>
  <si>
    <t>Medisch Specialistische Zorg</t>
  </si>
  <si>
    <t>Specialisten voor mondziekten en kaakchirurgie</t>
  </si>
  <si>
    <t>545</t>
  </si>
  <si>
    <t>Overige kosten ziekenhuiszorg en curatieve zorg</t>
  </si>
  <si>
    <t>610</t>
  </si>
  <si>
    <t>NTS (en SKION t/m 2021)</t>
  </si>
  <si>
    <t>610.1</t>
  </si>
  <si>
    <t>Eerstelijnsdiagnostiek</t>
  </si>
  <si>
    <t>610.2</t>
  </si>
  <si>
    <t>Overige zorgproducten (OZPs)</t>
  </si>
  <si>
    <t>611</t>
  </si>
  <si>
    <t>Add-ons dure geneesmiddelen</t>
  </si>
  <si>
    <t>612.1</t>
  </si>
  <si>
    <t>Add-ons Intensive Care</t>
  </si>
  <si>
    <t>612.2</t>
  </si>
  <si>
    <t>Integrale kosten DBC-zorgproducten gereguleerde segment</t>
  </si>
  <si>
    <t>613.1</t>
  </si>
  <si>
    <t>Integrale kosten DBC-zorgproducten vrije segment</t>
  </si>
  <si>
    <t>615.1</t>
  </si>
  <si>
    <t>Integrale kosten extramuraal werkende medisch specialisten</t>
  </si>
  <si>
    <t>619</t>
  </si>
  <si>
    <t>806.1</t>
  </si>
  <si>
    <t>806.2</t>
  </si>
  <si>
    <t>Paramedische Zorg</t>
  </si>
  <si>
    <t>Fysiotherapie</t>
  </si>
  <si>
    <t>620</t>
  </si>
  <si>
    <t>Oefentherapie Mensendieck/Cesar</t>
  </si>
  <si>
    <t>621</t>
  </si>
  <si>
    <t>Logopedie</t>
  </si>
  <si>
    <t>623</t>
  </si>
  <si>
    <t>Ergotherapie</t>
  </si>
  <si>
    <t>624</t>
  </si>
  <si>
    <t>Dieetadvisering</t>
  </si>
  <si>
    <t>625</t>
  </si>
  <si>
    <t>Gecombineerde leefstijlinterventies (GLI)</t>
  </si>
  <si>
    <t>626</t>
  </si>
  <si>
    <t>Hulpmiddelenzorg</t>
  </si>
  <si>
    <t>640</t>
  </si>
  <si>
    <t>808.1</t>
  </si>
  <si>
    <t>Ziekenvervoer</t>
  </si>
  <si>
    <t>Vervoer per ambulance en helikopter</t>
  </si>
  <si>
    <t>650</t>
  </si>
  <si>
    <t>Opbrengstenverrekeningen regionale ambulancevoorzieningen</t>
  </si>
  <si>
    <t>650.1</t>
  </si>
  <si>
    <t>Vervoer per openbaar vervoer, taxi en eigen auto</t>
  </si>
  <si>
    <t>651</t>
  </si>
  <si>
    <t>809.1</t>
  </si>
  <si>
    <t>Geneeskundige Geestelijke Gezondheidszorg (GGZ)</t>
  </si>
  <si>
    <t>Consulten GGZ</t>
  </si>
  <si>
    <t>666</t>
  </si>
  <si>
    <t>Intramuraal verblijf GGZ</t>
  </si>
  <si>
    <t>667</t>
  </si>
  <si>
    <t>Kosten overige prestaties</t>
  </si>
  <si>
    <t>668</t>
  </si>
  <si>
    <t>810.1</t>
  </si>
  <si>
    <t>Geriatrische Revalidatiezorg (GRZ), Eerstelijnsverblijf (ELV) en Geneeskundige zorg specifieke patiëntgroepen (GZSP)</t>
  </si>
  <si>
    <t>Geriatrische revalidatiezorg (GRZ)</t>
  </si>
  <si>
    <t>670</t>
  </si>
  <si>
    <t>Eerstelijnsverblijf (ELV)</t>
  </si>
  <si>
    <t>671</t>
  </si>
  <si>
    <t>Geneeskundige zorg specifieke patiëntgroepen (GZSP)</t>
  </si>
  <si>
    <t>672</t>
  </si>
  <si>
    <t>Meerkosten COVID-19, indirect (ELV)</t>
  </si>
  <si>
    <t>811.2.1</t>
  </si>
  <si>
    <t>Kraamzorg</t>
  </si>
  <si>
    <t>680</t>
  </si>
  <si>
    <t>Diverse overige kosten</t>
  </si>
  <si>
    <t>Overige kosten</t>
  </si>
  <si>
    <t>700</t>
  </si>
  <si>
    <t>Overige geneeskundige zorg</t>
  </si>
  <si>
    <t>701</t>
  </si>
  <si>
    <t>Zintuiglijk gehandicapten</t>
  </si>
  <si>
    <t>702</t>
  </si>
  <si>
    <t>Transformatiemiddelen IZA 2023 t/m 2026</t>
  </si>
  <si>
    <t>703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</si>
  <si>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</si>
  <si>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</si>
  <si>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</si>
  <si>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</si>
  <si>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</si>
  <si>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</si>
  <si>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</si>
  <si>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</si>
  <si>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</si>
  <si>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</si>
  <si>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</si>
  <si>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</si>
  <si>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</si>
  <si>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rubriek</t>
  </si>
  <si>
    <t>n.v.t.</t>
  </si>
  <si>
    <t>Grensoverschrijdende zorg</t>
  </si>
  <si>
    <t>Kwaliteitsgelden</t>
  </si>
  <si>
    <t>15</t>
  </si>
  <si>
    <t>16</t>
  </si>
  <si>
    <t>totaal</t>
  </si>
  <si>
    <t>Totaal zorgkosten Zorgverzekeringswet</t>
  </si>
  <si>
    <t>kosten per verzekerde 2022</t>
  </si>
  <si>
    <t>kosten per gebruiker 2022</t>
  </si>
  <si>
    <t>kosten totaal 2022</t>
  </si>
  <si>
    <t>kosten per verzekerde 2024</t>
  </si>
  <si>
    <t>kosten per gebruiker 2024</t>
  </si>
  <si>
    <t>kosten totaal 2024</t>
  </si>
  <si>
    <t>kosten per verzekerde 2023</t>
  </si>
  <si>
    <t>kosten per gebruiker 2023</t>
  </si>
  <si>
    <t>kosten totaal 2023</t>
  </si>
  <si>
    <t>Toelichting</t>
  </si>
  <si>
    <t>Kosten Zorgverzekeringswet 2022-2024</t>
  </si>
  <si>
    <t>Op rubrieksniveau (niveau 1) en kosten-</t>
  </si>
  <si>
    <t xml:space="preserve">codeniveau (niveau 2). Voor een </t>
  </si>
  <si>
    <t xml:space="preserve">toelichting op de indeling zie: </t>
  </si>
  <si>
    <t>Gegevensuitvraag 2024</t>
  </si>
  <si>
    <t>Peildatum: 17 september 2025</t>
  </si>
  <si>
    <t xml:space="preserve">Voor meer informatie: </t>
  </si>
  <si>
    <t>fccinformatie@zinl.nl</t>
  </si>
  <si>
    <t xml:space="preserve">Kosten per gebruiker zijn voor sommige sectoren niet bekend. </t>
  </si>
  <si>
    <t>n.b.</t>
  </si>
  <si>
    <t>Kosten per verzekerde gebaseerd op totale kosten gedeeld totaal aantal verzekerden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</si>
</sst>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164" fontId="0" fillId="0" borderId="0" xfId="1" applyFont="1"/>
    <xf numFmtId="165" fontId="0" fillId="0" borderId="0" xfId="1" applyNumberFormat="1" applyFont="1"/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/>
    <xf numFmtId="164" fontId="0" fillId="0" borderId="3" xfId="1" applyFont="1" applyBorder="1"/>
    <xf numFmtId="164" fontId="0" fillId="0" borderId="1" xfId="1" applyFont="1" applyBorder="1"/>
    <xf numFmtId="164" fontId="2" fillId="0" borderId="7" xfId="1" applyFont="1" applyBorder="1"/>
    <xf numFmtId="165" fontId="0" fillId="0" borderId="3" xfId="1" applyNumberFormat="1" applyFont="1" applyBorder="1"/>
    <xf numFmtId="165" fontId="0" fillId="0" borderId="1" xfId="1" applyNumberFormat="1" applyFont="1" applyBorder="1"/>
    <xf numFmtId="165" fontId="2" fillId="0" borderId="7" xfId="1" applyNumberFormat="1" applyFont="1" applyBorder="1"/>
    <xf numFmtId="0" fontId="0" fillId="0" borderId="4" xfId="0" applyBorder="1"/>
    <xf numFmtId="165" fontId="0" fillId="0" borderId="5" xfId="1" applyNumberFormat="1" applyFont="1" applyBorder="1"/>
    <xf numFmtId="165" fontId="2" fillId="0" borderId="8" xfId="1" applyNumberFormat="1" applyFont="1" applyBorder="1"/>
    <xf numFmtId="49" fontId="0" fillId="0" borderId="0" xfId="0" applyNumberFormat="1"/>
    <xf numFmtId="164" fontId="0" fillId="0" borderId="3" xfId="1" applyFont="1" applyBorder="1" applyAlignment="1">
      <alignment wrapText="1"/>
    </xf>
    <xf numFmtId="165" fontId="0" fillId="0" borderId="3" xfId="1" applyNumberFormat="1" applyFont="1" applyBorder="1" applyAlignment="1">
      <alignment wrapText="1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0" xfId="0" applyFill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3" fillId="0" borderId="0" xfId="2"/>
    <xf numFmtId="0" fontId="3" fillId="2" borderId="0" xfId="2" applyFill="1" applyBorder="1"/>
    <xf numFmtId="0" fontId="2" fillId="2" borderId="0" xfId="0" applyFont="1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ccinformatie@zinl.nl" TargetMode="External"/><Relationship Id="rId1" Type="http://schemas.openxmlformats.org/officeDocument/2006/relationships/hyperlink" Target="https://www.zorginstituutnederland.nl/documenten/2024/03/07/gegevensuitvraag-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99CB-96E1-47E4-AA1F-DA8A388223A0}">
  <dimension ref="B1:F14"/>
  <sheetViews>
    <sheetView workbookViewId="0">
      <selection activeCell="C5" sqref="C5"/>
    </sheetView>
  </sheetViews>
  <sheetFormatPr defaultRowHeight="14.4" x14ac:dyDescent="0.3"/>
  <cols>
    <col min="2" max="2" width="3.44140625" customWidth="1"/>
  </cols>
  <sheetData>
    <row r="1" spans="2:6" ht="15" thickBot="1" x14ac:dyDescent="0.35"/>
    <row r="2" spans="2:6" x14ac:dyDescent="0.3">
      <c r="B2" s="23"/>
      <c r="C2" s="24"/>
      <c r="D2" s="24"/>
      <c r="E2" s="24"/>
      <c r="F2" s="25"/>
    </row>
    <row r="3" spans="2:6" x14ac:dyDescent="0.3">
      <c r="B3" s="26"/>
      <c r="C3" s="34" t="s">
        <v>149</v>
      </c>
      <c r="D3" s="27"/>
      <c r="E3" s="27"/>
      <c r="F3" s="28"/>
    </row>
    <row r="4" spans="2:6" x14ac:dyDescent="0.3">
      <c r="B4" s="26"/>
      <c r="C4" s="27" t="s">
        <v>150</v>
      </c>
      <c r="D4" s="27"/>
      <c r="E4" s="27"/>
      <c r="F4" s="28"/>
    </row>
    <row r="5" spans="2:6" x14ac:dyDescent="0.3">
      <c r="B5" s="26"/>
      <c r="C5" s="27" t="s">
        <v>151</v>
      </c>
      <c r="D5" s="27"/>
      <c r="E5" s="27"/>
      <c r="F5" s="28"/>
    </row>
    <row r="6" spans="2:6" x14ac:dyDescent="0.3">
      <c r="B6" s="26"/>
      <c r="C6" s="27" t="s">
        <v>152</v>
      </c>
      <c r="D6" s="27"/>
      <c r="E6" s="27"/>
      <c r="F6" s="28"/>
    </row>
    <row r="7" spans="2:6" x14ac:dyDescent="0.3">
      <c r="B7" s="26"/>
      <c r="C7" s="27" t="s">
        <v>153</v>
      </c>
      <c r="D7" s="27"/>
      <c r="E7" s="27"/>
      <c r="F7" s="28"/>
    </row>
    <row r="8" spans="2:6" x14ac:dyDescent="0.3">
      <c r="B8" s="26"/>
      <c r="C8" s="32" t="s">
        <v>154</v>
      </c>
      <c r="D8" s="27"/>
      <c r="E8" s="27"/>
      <c r="F8" s="28"/>
    </row>
    <row r="9" spans="2:6" x14ac:dyDescent="0.3">
      <c r="B9" s="26"/>
      <c r="C9" s="27"/>
      <c r="D9" s="27"/>
      <c r="E9" s="27"/>
      <c r="F9" s="28"/>
    </row>
    <row r="10" spans="2:6" x14ac:dyDescent="0.3">
      <c r="B10" s="26"/>
      <c r="C10" s="27" t="s">
        <v>155</v>
      </c>
      <c r="D10" s="27"/>
      <c r="E10" s="27"/>
      <c r="F10" s="28"/>
    </row>
    <row r="11" spans="2:6" x14ac:dyDescent="0.3">
      <c r="B11" s="26"/>
      <c r="C11" s="27"/>
      <c r="D11" s="27"/>
      <c r="E11" s="27"/>
      <c r="F11" s="28"/>
    </row>
    <row r="12" spans="2:6" x14ac:dyDescent="0.3">
      <c r="B12" s="26"/>
      <c r="C12" s="27" t="s">
        <v>156</v>
      </c>
      <c r="D12" s="27"/>
      <c r="E12" s="27"/>
      <c r="F12" s="28"/>
    </row>
    <row r="13" spans="2:6" x14ac:dyDescent="0.3">
      <c r="B13" s="26"/>
      <c r="C13" s="33" t="s">
        <v>157</v>
      </c>
      <c r="D13" s="27"/>
      <c r="E13" s="27"/>
      <c r="F13" s="28"/>
    </row>
    <row r="14" spans="2:6" ht="15" thickBot="1" x14ac:dyDescent="0.35">
      <c r="B14" s="29"/>
      <c r="C14" s="30"/>
      <c r="D14" s="30"/>
      <c r="E14" s="30"/>
      <c r="F14" s="31"/>
    </row>
  </sheetData>
  <hyperlinks>
    <hyperlink ref="C8" r:id="rId1" xr:uid="{E335E16F-6715-4D56-B4C5-D013BC83AA1F}"/>
    <hyperlink ref="C13" r:id="rId2" xr:uid="{C11068D6-4C00-47E6-8484-446DB717B5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888F-50D1-409E-B471-B512D972E598}">
  <dimension ref="A1:M20"/>
  <sheetViews>
    <sheetView workbookViewId="0">
      <selection activeCell="B20" sqref="B20"/>
    </sheetView>
  </sheetViews>
  <sheetFormatPr defaultRowHeight="14.4" x14ac:dyDescent="0.3"/>
  <cols>
    <col min="2" max="2" width="105" bestFit="1" customWidth="1"/>
    <col min="5" max="5" width="12.109375" style="1" customWidth="1"/>
    <col min="6" max="6" width="13.44140625" style="1" customWidth="1"/>
    <col min="7" max="7" width="17.44140625" style="2" bestFit="1" customWidth="1"/>
    <col min="8" max="8" width="11.109375" style="1" customWidth="1"/>
    <col min="9" max="9" width="10.44140625" style="1" customWidth="1"/>
    <col min="10" max="10" width="17.44140625" style="2" bestFit="1" customWidth="1"/>
    <col min="11" max="11" width="11.88671875" style="1" customWidth="1"/>
    <col min="12" max="12" width="11" style="1" bestFit="1" customWidth="1"/>
    <col min="13" max="13" width="17.44140625" style="2" bestFit="1" customWidth="1"/>
  </cols>
  <sheetData>
    <row r="1" spans="1:13" ht="43.2" x14ac:dyDescent="0.3">
      <c r="A1" s="5" t="s">
        <v>132</v>
      </c>
      <c r="B1" s="6" t="s">
        <v>3</v>
      </c>
      <c r="C1" s="6" t="s">
        <v>4</v>
      </c>
      <c r="D1" s="6" t="s">
        <v>5</v>
      </c>
      <c r="E1" s="21" t="s">
        <v>140</v>
      </c>
      <c r="F1" s="21" t="s">
        <v>141</v>
      </c>
      <c r="G1" s="22" t="s">
        <v>142</v>
      </c>
      <c r="H1" s="21" t="s">
        <v>146</v>
      </c>
      <c r="I1" s="21" t="s">
        <v>147</v>
      </c>
      <c r="J1" s="22" t="s">
        <v>148</v>
      </c>
      <c r="K1" s="21" t="s">
        <v>143</v>
      </c>
      <c r="L1" s="21" t="s">
        <v>144</v>
      </c>
      <c r="M1" s="22" t="s">
        <v>145</v>
      </c>
    </row>
    <row r="2" spans="1:13" x14ac:dyDescent="0.3">
      <c r="A2" s="7" t="s">
        <v>119</v>
      </c>
      <c r="B2" s="3" t="s">
        <v>6</v>
      </c>
      <c r="C2" s="4">
        <v>1</v>
      </c>
      <c r="D2" s="3" t="s">
        <v>9</v>
      </c>
      <c r="E2" s="12">
        <v>242.6</v>
      </c>
      <c r="F2" s="12">
        <v>245</v>
      </c>
      <c r="G2" s="15">
        <v>4262795438</v>
      </c>
      <c r="H2" s="12">
        <v>267.89999999999998</v>
      </c>
      <c r="I2" s="12">
        <v>270.8</v>
      </c>
      <c r="J2" s="15">
        <v>4735312803</v>
      </c>
      <c r="K2" s="12">
        <v>296.2</v>
      </c>
      <c r="L2" s="12">
        <v>299.60000000000002</v>
      </c>
      <c r="M2" s="15">
        <v>5262073528</v>
      </c>
    </row>
    <row r="3" spans="1:13" x14ac:dyDescent="0.3">
      <c r="A3" s="7" t="s">
        <v>120</v>
      </c>
      <c r="B3" s="3" t="s">
        <v>26</v>
      </c>
      <c r="C3" s="4">
        <v>2</v>
      </c>
      <c r="D3" s="3" t="s">
        <v>9</v>
      </c>
      <c r="E3" s="12">
        <v>294.7</v>
      </c>
      <c r="F3" s="12" t="s">
        <v>159</v>
      </c>
      <c r="G3" s="15">
        <v>5176856973</v>
      </c>
      <c r="H3" s="12">
        <v>300.8</v>
      </c>
      <c r="I3" s="12" t="s">
        <v>159</v>
      </c>
      <c r="J3" s="15">
        <v>5317259461</v>
      </c>
      <c r="K3" s="12">
        <v>320.7</v>
      </c>
      <c r="L3" s="12" t="s">
        <v>159</v>
      </c>
      <c r="M3" s="15">
        <v>5697257617</v>
      </c>
    </row>
    <row r="4" spans="1:13" x14ac:dyDescent="0.3">
      <c r="A4" s="7" t="s">
        <v>121</v>
      </c>
      <c r="B4" s="3" t="s">
        <v>28</v>
      </c>
      <c r="C4" s="4">
        <v>3</v>
      </c>
      <c r="D4" s="3" t="s">
        <v>9</v>
      </c>
      <c r="E4" s="12">
        <v>176.3</v>
      </c>
      <c r="F4" s="12">
        <v>5367.6</v>
      </c>
      <c r="G4" s="15">
        <v>3097047638</v>
      </c>
      <c r="H4" s="12">
        <v>182.1</v>
      </c>
      <c r="I4" s="12">
        <v>5558.9</v>
      </c>
      <c r="J4" s="15">
        <v>3219163204</v>
      </c>
      <c r="K4" s="12">
        <v>186.2</v>
      </c>
      <c r="L4" s="12">
        <v>5563.9</v>
      </c>
      <c r="M4" s="15">
        <v>3307654171</v>
      </c>
    </row>
    <row r="5" spans="1:13" x14ac:dyDescent="0.3">
      <c r="A5" s="7" t="s">
        <v>122</v>
      </c>
      <c r="B5" s="3" t="s">
        <v>32</v>
      </c>
      <c r="C5" s="4">
        <v>4</v>
      </c>
      <c r="D5" s="3" t="s">
        <v>9</v>
      </c>
      <c r="E5" s="12">
        <v>47.5</v>
      </c>
      <c r="F5" s="12">
        <v>284.7</v>
      </c>
      <c r="G5" s="15">
        <v>834415944</v>
      </c>
      <c r="H5" s="12">
        <v>52.1</v>
      </c>
      <c r="I5" s="12">
        <v>310.10000000000002</v>
      </c>
      <c r="J5" s="15">
        <v>921553633</v>
      </c>
      <c r="K5" s="12">
        <v>55.1</v>
      </c>
      <c r="L5" s="12">
        <v>325.3</v>
      </c>
      <c r="M5" s="15">
        <v>978923678</v>
      </c>
    </row>
    <row r="6" spans="1:13" x14ac:dyDescent="0.3">
      <c r="A6" s="7" t="s">
        <v>123</v>
      </c>
      <c r="B6" s="3" t="s">
        <v>39</v>
      </c>
      <c r="C6" s="4">
        <v>5</v>
      </c>
      <c r="D6" s="3" t="s">
        <v>9</v>
      </c>
      <c r="E6" s="12">
        <v>20.2</v>
      </c>
      <c r="F6" s="12">
        <v>1225.3</v>
      </c>
      <c r="G6" s="15">
        <v>354576875</v>
      </c>
      <c r="H6" s="12">
        <v>22.2</v>
      </c>
      <c r="I6" s="12">
        <v>1343.9</v>
      </c>
      <c r="J6" s="15">
        <v>391994466</v>
      </c>
      <c r="K6" s="12">
        <v>18.3</v>
      </c>
      <c r="L6" s="12">
        <v>1132.9000000000001</v>
      </c>
      <c r="M6" s="15">
        <v>325259766</v>
      </c>
    </row>
    <row r="7" spans="1:13" x14ac:dyDescent="0.3">
      <c r="A7" s="7" t="s">
        <v>124</v>
      </c>
      <c r="B7" s="3" t="s">
        <v>44</v>
      </c>
      <c r="C7" s="4">
        <v>6</v>
      </c>
      <c r="D7" s="3" t="s">
        <v>9</v>
      </c>
      <c r="E7" s="12">
        <v>1517.4</v>
      </c>
      <c r="F7" s="12">
        <v>2586.4</v>
      </c>
      <c r="G7" s="15">
        <v>26658602965</v>
      </c>
      <c r="H7" s="12">
        <v>1612.4</v>
      </c>
      <c r="I7" s="12">
        <v>2702.9</v>
      </c>
      <c r="J7" s="15">
        <v>28498784966</v>
      </c>
      <c r="K7" s="12">
        <v>1724.1</v>
      </c>
      <c r="L7" s="12">
        <v>2842.3</v>
      </c>
      <c r="M7" s="15">
        <v>30624333403</v>
      </c>
    </row>
    <row r="8" spans="1:13" x14ac:dyDescent="0.3">
      <c r="A8" s="7" t="s">
        <v>125</v>
      </c>
      <c r="B8" s="3" t="s">
        <v>67</v>
      </c>
      <c r="C8" s="4">
        <v>7</v>
      </c>
      <c r="D8" s="3" t="s">
        <v>9</v>
      </c>
      <c r="E8" s="12">
        <v>58.4</v>
      </c>
      <c r="F8" s="12">
        <v>573.20000000000005</v>
      </c>
      <c r="G8" s="15">
        <v>1026375810</v>
      </c>
      <c r="H8" s="12">
        <v>62.7</v>
      </c>
      <c r="I8" s="12">
        <v>610.20000000000005</v>
      </c>
      <c r="J8" s="15">
        <v>1107575434</v>
      </c>
      <c r="K8" s="12">
        <v>67</v>
      </c>
      <c r="L8" s="12">
        <v>638.5</v>
      </c>
      <c r="M8" s="15">
        <v>1190164714</v>
      </c>
    </row>
    <row r="9" spans="1:13" x14ac:dyDescent="0.3">
      <c r="A9" s="7" t="s">
        <v>126</v>
      </c>
      <c r="B9" s="3" t="s">
        <v>80</v>
      </c>
      <c r="C9" s="4">
        <v>8</v>
      </c>
      <c r="D9" s="3" t="s">
        <v>9</v>
      </c>
      <c r="E9" s="12">
        <v>100.5</v>
      </c>
      <c r="F9" s="12" t="s">
        <v>159</v>
      </c>
      <c r="G9" s="15">
        <v>1765436874</v>
      </c>
      <c r="H9" s="12">
        <v>106.7</v>
      </c>
      <c r="I9" s="12" t="s">
        <v>159</v>
      </c>
      <c r="J9" s="15">
        <v>1886258857</v>
      </c>
      <c r="K9" s="12">
        <v>113.3</v>
      </c>
      <c r="L9" s="12" t="s">
        <v>159</v>
      </c>
      <c r="M9" s="15">
        <v>2011735055</v>
      </c>
    </row>
    <row r="10" spans="1:13" x14ac:dyDescent="0.3">
      <c r="A10" s="7" t="s">
        <v>127</v>
      </c>
      <c r="B10" s="3" t="s">
        <v>83</v>
      </c>
      <c r="C10" s="4">
        <v>9</v>
      </c>
      <c r="D10" s="3" t="s">
        <v>9</v>
      </c>
      <c r="E10" s="12">
        <v>51.1</v>
      </c>
      <c r="F10" s="12">
        <v>1429.4</v>
      </c>
      <c r="G10" s="15">
        <v>897328741</v>
      </c>
      <c r="H10" s="12">
        <v>55.6</v>
      </c>
      <c r="I10" s="12">
        <v>1614.5</v>
      </c>
      <c r="J10" s="15">
        <v>982309699</v>
      </c>
      <c r="K10" s="12">
        <v>59.6</v>
      </c>
      <c r="L10" s="12">
        <v>1699.9</v>
      </c>
      <c r="M10" s="15">
        <v>1059097997</v>
      </c>
    </row>
    <row r="11" spans="1:13" x14ac:dyDescent="0.3">
      <c r="A11" s="7" t="s">
        <v>128</v>
      </c>
      <c r="B11" s="3" t="s">
        <v>91</v>
      </c>
      <c r="C11" s="4">
        <v>10</v>
      </c>
      <c r="D11" s="3" t="s">
        <v>9</v>
      </c>
      <c r="E11" s="12">
        <v>261.10000000000002</v>
      </c>
      <c r="F11" s="12">
        <v>5073</v>
      </c>
      <c r="G11" s="15">
        <v>4586979961</v>
      </c>
      <c r="H11" s="12">
        <v>284.3</v>
      </c>
      <c r="I11" s="12">
        <v>5283</v>
      </c>
      <c r="J11" s="15">
        <v>5024449030</v>
      </c>
      <c r="K11" s="12">
        <v>313.10000000000002</v>
      </c>
      <c r="L11" s="12">
        <v>5770.3</v>
      </c>
      <c r="M11" s="15">
        <v>5561805819</v>
      </c>
    </row>
    <row r="12" spans="1:13" x14ac:dyDescent="0.3">
      <c r="A12" s="7" t="s">
        <v>129</v>
      </c>
      <c r="B12" s="3" t="s">
        <v>99</v>
      </c>
      <c r="C12" s="4">
        <v>11</v>
      </c>
      <c r="D12" s="3" t="s">
        <v>9</v>
      </c>
      <c r="E12" s="12">
        <v>65</v>
      </c>
      <c r="F12" s="12">
        <v>9960.2000000000007</v>
      </c>
      <c r="G12" s="15">
        <v>1142599834</v>
      </c>
      <c r="H12" s="12">
        <v>70.2</v>
      </c>
      <c r="I12" s="12">
        <v>10361.6</v>
      </c>
      <c r="J12" s="15">
        <v>1240293832</v>
      </c>
      <c r="K12" s="12">
        <v>74.5</v>
      </c>
      <c r="L12" s="12">
        <v>10660.6</v>
      </c>
      <c r="M12" s="15">
        <v>1323397901</v>
      </c>
    </row>
    <row r="13" spans="1:13" x14ac:dyDescent="0.3">
      <c r="A13" s="7" t="s">
        <v>130</v>
      </c>
      <c r="B13" s="3" t="s">
        <v>108</v>
      </c>
      <c r="C13" s="4">
        <v>12</v>
      </c>
      <c r="D13" s="3" t="s">
        <v>9</v>
      </c>
      <c r="E13" s="12">
        <v>18.2</v>
      </c>
      <c r="F13" s="12">
        <v>1423</v>
      </c>
      <c r="G13" s="15">
        <v>319463575</v>
      </c>
      <c r="H13" s="12">
        <v>19.7</v>
      </c>
      <c r="I13" s="12">
        <v>1567.8</v>
      </c>
      <c r="J13" s="15">
        <v>348130805</v>
      </c>
      <c r="K13" s="12">
        <v>20.7</v>
      </c>
      <c r="L13" s="12">
        <v>1644.6</v>
      </c>
      <c r="M13" s="15">
        <v>367217755</v>
      </c>
    </row>
    <row r="14" spans="1:13" x14ac:dyDescent="0.3">
      <c r="A14" s="7" t="s">
        <v>131</v>
      </c>
      <c r="B14" s="3" t="s">
        <v>110</v>
      </c>
      <c r="C14" s="4">
        <v>13</v>
      </c>
      <c r="D14" s="3" t="s">
        <v>9</v>
      </c>
      <c r="E14" s="12">
        <v>16</v>
      </c>
      <c r="F14" s="12">
        <v>752.4</v>
      </c>
      <c r="G14" s="15">
        <v>281191228</v>
      </c>
      <c r="H14" s="12">
        <v>19.5</v>
      </c>
      <c r="I14" s="12">
        <v>795.9</v>
      </c>
      <c r="J14" s="15">
        <v>344848549</v>
      </c>
      <c r="K14" s="12">
        <v>27.9</v>
      </c>
      <c r="L14" s="12">
        <v>1039.2</v>
      </c>
      <c r="M14" s="15">
        <v>496310627</v>
      </c>
    </row>
    <row r="15" spans="1:13" x14ac:dyDescent="0.3">
      <c r="A15" s="7" t="s">
        <v>136</v>
      </c>
      <c r="B15" s="3" t="s">
        <v>134</v>
      </c>
      <c r="C15" s="4">
        <v>15</v>
      </c>
      <c r="D15" s="3" t="s">
        <v>9</v>
      </c>
      <c r="E15" s="12">
        <v>43.531965437496787</v>
      </c>
      <c r="F15" s="12" t="s">
        <v>159</v>
      </c>
      <c r="G15" s="15">
        <v>763910509</v>
      </c>
      <c r="H15" s="12">
        <v>29.395769721883262</v>
      </c>
      <c r="I15" s="12" t="s">
        <v>159</v>
      </c>
      <c r="J15" s="15">
        <v>519060419</v>
      </c>
      <c r="K15" s="12">
        <v>31.10064864274824</v>
      </c>
      <c r="L15" s="12" t="s">
        <v>159</v>
      </c>
      <c r="M15" s="15">
        <v>552165550</v>
      </c>
    </row>
    <row r="16" spans="1:13" x14ac:dyDescent="0.3">
      <c r="A16" s="7" t="s">
        <v>137</v>
      </c>
      <c r="B16" s="3" t="s">
        <v>135</v>
      </c>
      <c r="C16" s="4">
        <v>16</v>
      </c>
      <c r="D16" s="3" t="s">
        <v>9</v>
      </c>
      <c r="E16" s="12">
        <v>1.797009516495818</v>
      </c>
      <c r="F16" s="12" t="s">
        <v>159</v>
      </c>
      <c r="G16" s="15">
        <v>31534401</v>
      </c>
      <c r="H16" s="12">
        <v>1.9214865822798575</v>
      </c>
      <c r="I16" s="12" t="s">
        <v>159</v>
      </c>
      <c r="J16" s="15">
        <v>33928951</v>
      </c>
      <c r="K16" s="12">
        <v>2.0291592123058111</v>
      </c>
      <c r="L16" s="12" t="s">
        <v>159</v>
      </c>
      <c r="M16" s="15">
        <v>36025995</v>
      </c>
    </row>
    <row r="17" spans="1:13" s="10" customFormat="1" ht="15" thickBot="1" x14ac:dyDescent="0.35">
      <c r="A17" s="8"/>
      <c r="B17" s="9" t="s">
        <v>138</v>
      </c>
      <c r="C17" s="9"/>
      <c r="D17" s="9"/>
      <c r="E17" s="13">
        <f>SUM(E2:E16)</f>
        <v>2914.3289749539922</v>
      </c>
      <c r="F17" s="13" t="s">
        <v>133</v>
      </c>
      <c r="G17" s="16">
        <f t="shared" ref="G17:M17" si="0">SUM(G2:G16)</f>
        <v>51199116766</v>
      </c>
      <c r="H17" s="13">
        <f t="shared" si="0"/>
        <v>3087.5172563041629</v>
      </c>
      <c r="I17" s="13" t="s">
        <v>133</v>
      </c>
      <c r="J17" s="16">
        <f t="shared" si="0"/>
        <v>54570924109</v>
      </c>
      <c r="K17" s="13">
        <f t="shared" si="0"/>
        <v>3309.8298078550538</v>
      </c>
      <c r="L17" s="13" t="s">
        <v>133</v>
      </c>
      <c r="M17" s="16">
        <f t="shared" si="0"/>
        <v>58793423576</v>
      </c>
    </row>
    <row r="19" spans="1:13" x14ac:dyDescent="0.3">
      <c r="B19" s="20" t="s">
        <v>158</v>
      </c>
    </row>
    <row r="20" spans="1:13" x14ac:dyDescent="0.3">
      <c r="B20" s="20" t="s">
        <v>160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4423-60C5-4948-B5D2-9734556014D6}">
  <dimension ref="A1:N55"/>
  <sheetViews>
    <sheetView tabSelected="1" topLeftCell="B1" workbookViewId="0">
      <selection activeCell="D10" sqref="D10"/>
    </sheetView>
  </sheetViews>
  <sheetFormatPr defaultRowHeight="14.4" x14ac:dyDescent="0.3"/>
  <cols>
    <col min="1" max="1" width="8.44140625" bestFit="1" customWidth="1"/>
    <col min="2" max="2" width="48" customWidth="1"/>
    <col min="3" max="3" width="10.6640625" bestFit="1" customWidth="1"/>
    <col min="4" max="4" width="57.5546875" bestFit="1" customWidth="1"/>
    <col min="5" max="5" width="8.5546875" bestFit="1" customWidth="1"/>
    <col min="6" max="6" width="9.88671875" style="1" bestFit="1" customWidth="1"/>
    <col min="7" max="7" width="12.5546875" style="1" bestFit="1" customWidth="1"/>
    <col min="8" max="8" width="17.44140625" style="2" bestFit="1" customWidth="1"/>
    <col min="9" max="9" width="9.88671875" style="1" bestFit="1" customWidth="1"/>
    <col min="10" max="10" width="12.5546875" style="1" bestFit="1" customWidth="1"/>
    <col min="11" max="11" width="17.44140625" style="2" bestFit="1" customWidth="1"/>
    <col min="12" max="12" width="24.21875" style="1" bestFit="1" customWidth="1"/>
    <col min="13" max="13" width="23" style="1" bestFit="1" customWidth="1"/>
    <col min="14" max="14" width="17.44140625" style="2" bestFit="1" customWidth="1"/>
  </cols>
  <sheetData>
    <row r="1" spans="1:14" x14ac:dyDescent="0.3">
      <c r="A1" s="5" t="s">
        <v>4</v>
      </c>
      <c r="B1" s="6" t="s">
        <v>0</v>
      </c>
      <c r="C1" s="6" t="s">
        <v>2</v>
      </c>
      <c r="D1" s="6" t="s">
        <v>1</v>
      </c>
      <c r="E1" s="6" t="s">
        <v>5</v>
      </c>
      <c r="F1" s="11" t="s">
        <v>140</v>
      </c>
      <c r="G1" s="11" t="s">
        <v>141</v>
      </c>
      <c r="H1" s="14" t="s">
        <v>142</v>
      </c>
      <c r="I1" s="11" t="s">
        <v>146</v>
      </c>
      <c r="J1" s="11" t="s">
        <v>147</v>
      </c>
      <c r="K1" s="14" t="s">
        <v>148</v>
      </c>
      <c r="L1" s="11" t="s">
        <v>143</v>
      </c>
      <c r="M1" s="11" t="s">
        <v>144</v>
      </c>
      <c r="N1" s="14" t="s">
        <v>145</v>
      </c>
    </row>
    <row r="2" spans="1:14" x14ac:dyDescent="0.3">
      <c r="A2" s="17">
        <v>1</v>
      </c>
      <c r="B2" s="3" t="s">
        <v>6</v>
      </c>
      <c r="C2" s="3" t="s">
        <v>8</v>
      </c>
      <c r="D2" s="3" t="s">
        <v>7</v>
      </c>
      <c r="E2" s="3" t="s">
        <v>9</v>
      </c>
      <c r="F2" s="12">
        <v>4.8</v>
      </c>
      <c r="G2" s="12">
        <v>34.200000000000003</v>
      </c>
      <c r="H2" s="15">
        <v>83661417</v>
      </c>
      <c r="I2" s="12">
        <v>5.5</v>
      </c>
      <c r="J2" s="12">
        <v>36.9</v>
      </c>
      <c r="K2" s="15">
        <v>97755974</v>
      </c>
      <c r="L2" s="12">
        <v>6</v>
      </c>
      <c r="M2" s="12">
        <v>38.9</v>
      </c>
      <c r="N2" s="18">
        <v>106202340</v>
      </c>
    </row>
    <row r="3" spans="1:14" x14ac:dyDescent="0.3">
      <c r="A3" s="17">
        <v>1</v>
      </c>
      <c r="B3" s="3" t="s">
        <v>6</v>
      </c>
      <c r="C3" s="3" t="s">
        <v>11</v>
      </c>
      <c r="D3" s="3" t="s">
        <v>10</v>
      </c>
      <c r="E3" s="3" t="s">
        <v>9</v>
      </c>
      <c r="F3" s="12">
        <v>23.5</v>
      </c>
      <c r="G3" s="12">
        <v>150.6</v>
      </c>
      <c r="H3" s="15">
        <v>413665066</v>
      </c>
      <c r="I3" s="12">
        <v>27.3</v>
      </c>
      <c r="J3" s="12">
        <v>181.9</v>
      </c>
      <c r="K3" s="15">
        <v>482752874</v>
      </c>
      <c r="L3" s="12">
        <v>28.9</v>
      </c>
      <c r="M3" s="12">
        <v>195.2</v>
      </c>
      <c r="N3" s="18">
        <v>513727924</v>
      </c>
    </row>
    <row r="4" spans="1:14" x14ac:dyDescent="0.3">
      <c r="A4" s="17">
        <v>1</v>
      </c>
      <c r="B4" s="3" t="s">
        <v>6</v>
      </c>
      <c r="C4" s="3" t="s">
        <v>13</v>
      </c>
      <c r="D4" s="3" t="s">
        <v>12</v>
      </c>
      <c r="E4" s="3" t="s">
        <v>9</v>
      </c>
      <c r="F4" s="12">
        <v>76.599999999999994</v>
      </c>
      <c r="G4" s="12">
        <v>78.599999999999994</v>
      </c>
      <c r="H4" s="15">
        <v>1345217513</v>
      </c>
      <c r="I4" s="12">
        <v>81.900000000000006</v>
      </c>
      <c r="J4" s="12">
        <v>84</v>
      </c>
      <c r="K4" s="15">
        <v>1446749507</v>
      </c>
      <c r="L4" s="12">
        <v>86.8</v>
      </c>
      <c r="M4" s="12">
        <v>89.1</v>
      </c>
      <c r="N4" s="18">
        <v>1541027005</v>
      </c>
    </row>
    <row r="5" spans="1:14" x14ac:dyDescent="0.3">
      <c r="A5" s="17">
        <v>1</v>
      </c>
      <c r="B5" s="3" t="s">
        <v>6</v>
      </c>
      <c r="C5" s="3" t="s">
        <v>15</v>
      </c>
      <c r="D5" s="3" t="s">
        <v>14</v>
      </c>
      <c r="E5" s="3" t="s">
        <v>9</v>
      </c>
      <c r="F5" s="12">
        <v>54.6</v>
      </c>
      <c r="G5" s="12">
        <v>73.099999999999994</v>
      </c>
      <c r="H5" s="15">
        <v>958573573</v>
      </c>
      <c r="I5" s="12">
        <v>59.5</v>
      </c>
      <c r="J5" s="12">
        <v>79.5</v>
      </c>
      <c r="K5" s="15">
        <v>1051131975</v>
      </c>
      <c r="L5" s="12">
        <v>64.7</v>
      </c>
      <c r="M5" s="12">
        <v>86.5</v>
      </c>
      <c r="N5" s="18">
        <v>1149484800</v>
      </c>
    </row>
    <row r="6" spans="1:14" x14ac:dyDescent="0.3">
      <c r="A6" s="17">
        <v>1</v>
      </c>
      <c r="B6" s="3" t="s">
        <v>6</v>
      </c>
      <c r="C6" s="3" t="s">
        <v>17</v>
      </c>
      <c r="D6" s="3" t="s">
        <v>16</v>
      </c>
      <c r="E6" s="3" t="s">
        <v>9</v>
      </c>
      <c r="F6" s="12">
        <v>15.5</v>
      </c>
      <c r="G6" s="12">
        <v>17.2</v>
      </c>
      <c r="H6" s="15">
        <v>271473557</v>
      </c>
      <c r="I6" s="12">
        <v>16.7</v>
      </c>
      <c r="J6" s="12">
        <v>18.600000000000001</v>
      </c>
      <c r="K6" s="15">
        <v>295607722</v>
      </c>
      <c r="L6" s="12">
        <v>20.8</v>
      </c>
      <c r="M6" s="12">
        <v>22.4</v>
      </c>
      <c r="N6" s="18">
        <v>370265756</v>
      </c>
    </row>
    <row r="7" spans="1:14" x14ac:dyDescent="0.3">
      <c r="A7" s="17">
        <v>1</v>
      </c>
      <c r="B7" s="3" t="s">
        <v>6</v>
      </c>
      <c r="C7" s="3" t="s">
        <v>19</v>
      </c>
      <c r="D7" s="3" t="s">
        <v>18</v>
      </c>
      <c r="E7" s="3" t="s">
        <v>9</v>
      </c>
      <c r="F7" s="12">
        <v>31.9</v>
      </c>
      <c r="G7" s="12">
        <v>53.8</v>
      </c>
      <c r="H7" s="15">
        <v>560017190</v>
      </c>
      <c r="I7" s="12">
        <v>36.4</v>
      </c>
      <c r="J7" s="12">
        <v>41.9</v>
      </c>
      <c r="K7" s="15">
        <v>643303436</v>
      </c>
      <c r="L7" s="12">
        <v>41</v>
      </c>
      <c r="M7" s="12">
        <v>44.5</v>
      </c>
      <c r="N7" s="18">
        <v>728308652</v>
      </c>
    </row>
    <row r="8" spans="1:14" x14ac:dyDescent="0.3">
      <c r="A8" s="17">
        <v>1</v>
      </c>
      <c r="B8" s="3" t="s">
        <v>6</v>
      </c>
      <c r="C8" s="3" t="s">
        <v>21</v>
      </c>
      <c r="D8" s="3" t="s">
        <v>20</v>
      </c>
      <c r="E8" s="3" t="s">
        <v>9</v>
      </c>
      <c r="F8" s="12">
        <v>27.1</v>
      </c>
      <c r="G8" s="12">
        <v>27.8</v>
      </c>
      <c r="H8" s="15">
        <v>475911450</v>
      </c>
      <c r="I8" s="12">
        <v>31.6</v>
      </c>
      <c r="J8" s="12">
        <v>32.5</v>
      </c>
      <c r="K8" s="15">
        <v>558019830</v>
      </c>
      <c r="L8" s="12">
        <v>38.1</v>
      </c>
      <c r="M8" s="12">
        <v>39.299999999999997</v>
      </c>
      <c r="N8" s="18">
        <v>677560295</v>
      </c>
    </row>
    <row r="9" spans="1:14" x14ac:dyDescent="0.3">
      <c r="A9" s="17">
        <v>1</v>
      </c>
      <c r="B9" s="3" t="s">
        <v>6</v>
      </c>
      <c r="C9" s="3" t="s">
        <v>23</v>
      </c>
      <c r="D9" s="3" t="s">
        <v>22</v>
      </c>
      <c r="E9" s="3" t="s">
        <v>9</v>
      </c>
      <c r="F9" s="12">
        <v>8.8000000000000007</v>
      </c>
      <c r="G9" s="12">
        <v>21.8</v>
      </c>
      <c r="H9" s="15">
        <v>154275672</v>
      </c>
      <c r="I9" s="12">
        <v>9.1</v>
      </c>
      <c r="J9" s="12">
        <v>12.8</v>
      </c>
      <c r="K9" s="15">
        <v>159991485</v>
      </c>
      <c r="L9" s="12">
        <v>9.9</v>
      </c>
      <c r="M9" s="12">
        <v>12.9</v>
      </c>
      <c r="N9" s="18">
        <v>175496756</v>
      </c>
    </row>
    <row r="10" spans="1:14" x14ac:dyDescent="0.3">
      <c r="A10" s="17">
        <v>2</v>
      </c>
      <c r="B10" s="3" t="s">
        <v>26</v>
      </c>
      <c r="C10" s="3" t="s">
        <v>27</v>
      </c>
      <c r="D10" s="3" t="s">
        <v>26</v>
      </c>
      <c r="E10" s="3" t="s">
        <v>9</v>
      </c>
      <c r="F10" s="12">
        <v>294.7</v>
      </c>
      <c r="G10" s="12"/>
      <c r="H10" s="15">
        <v>5176856973</v>
      </c>
      <c r="I10" s="12">
        <v>300.8</v>
      </c>
      <c r="J10" s="12"/>
      <c r="K10" s="15">
        <v>5317259461</v>
      </c>
      <c r="L10" s="12">
        <v>320.7</v>
      </c>
      <c r="M10" s="12"/>
      <c r="N10" s="18">
        <v>5697257617</v>
      </c>
    </row>
    <row r="11" spans="1:14" x14ac:dyDescent="0.3">
      <c r="A11" s="17">
        <v>3</v>
      </c>
      <c r="B11" s="3" t="s">
        <v>28</v>
      </c>
      <c r="C11" s="3" t="s">
        <v>30</v>
      </c>
      <c r="D11" s="3" t="s">
        <v>29</v>
      </c>
      <c r="E11" s="3" t="s">
        <v>9</v>
      </c>
      <c r="F11" s="12">
        <v>175</v>
      </c>
      <c r="G11" s="12">
        <v>5328.7</v>
      </c>
      <c r="H11" s="15">
        <v>3074593799</v>
      </c>
      <c r="I11" s="12">
        <v>182.1</v>
      </c>
      <c r="J11" s="12">
        <v>5558.9</v>
      </c>
      <c r="K11" s="15">
        <v>3219163204</v>
      </c>
      <c r="L11" s="12">
        <v>186.2</v>
      </c>
      <c r="M11" s="12">
        <v>5563.9</v>
      </c>
      <c r="N11" s="18">
        <v>3307654171</v>
      </c>
    </row>
    <row r="12" spans="1:14" x14ac:dyDescent="0.3">
      <c r="A12" s="17">
        <v>3</v>
      </c>
      <c r="B12" s="3" t="s">
        <v>28</v>
      </c>
      <c r="C12" s="3" t="s">
        <v>31</v>
      </c>
      <c r="D12" s="3" t="s">
        <v>24</v>
      </c>
      <c r="E12" s="3" t="s">
        <v>9</v>
      </c>
      <c r="F12" s="12">
        <v>1.3</v>
      </c>
      <c r="G12" s="12"/>
      <c r="H12" s="15">
        <v>22453839</v>
      </c>
      <c r="I12" s="12"/>
      <c r="J12" s="12"/>
      <c r="K12" s="15"/>
      <c r="L12" s="12"/>
      <c r="M12" s="12"/>
      <c r="N12" s="18"/>
    </row>
    <row r="13" spans="1:14" x14ac:dyDescent="0.3">
      <c r="A13" s="17">
        <v>4</v>
      </c>
      <c r="B13" s="3" t="s">
        <v>32</v>
      </c>
      <c r="C13" s="3" t="s">
        <v>34</v>
      </c>
      <c r="D13" s="3" t="s">
        <v>33</v>
      </c>
      <c r="E13" s="3" t="s">
        <v>9</v>
      </c>
      <c r="F13" s="12">
        <v>4.9000000000000004</v>
      </c>
      <c r="G13" s="12">
        <v>394.8</v>
      </c>
      <c r="H13" s="15">
        <v>85298239</v>
      </c>
      <c r="I13" s="12">
        <v>5.2</v>
      </c>
      <c r="J13" s="12">
        <v>424.4</v>
      </c>
      <c r="K13" s="15">
        <v>91514069</v>
      </c>
      <c r="L13" s="12">
        <v>5.0999999999999996</v>
      </c>
      <c r="M13" s="12">
        <v>417.8</v>
      </c>
      <c r="N13" s="18">
        <v>90374542</v>
      </c>
    </row>
    <row r="14" spans="1:14" x14ac:dyDescent="0.3">
      <c r="A14" s="17">
        <v>4</v>
      </c>
      <c r="B14" s="3" t="s">
        <v>32</v>
      </c>
      <c r="C14" s="3" t="s">
        <v>36</v>
      </c>
      <c r="D14" s="3" t="s">
        <v>35</v>
      </c>
      <c r="E14" s="3" t="s">
        <v>9</v>
      </c>
      <c r="F14" s="12">
        <v>29.8</v>
      </c>
      <c r="G14" s="12">
        <v>220.4</v>
      </c>
      <c r="H14" s="15">
        <v>523346892</v>
      </c>
      <c r="I14" s="12">
        <v>33</v>
      </c>
      <c r="J14" s="12">
        <v>241.2</v>
      </c>
      <c r="K14" s="15">
        <v>582437549</v>
      </c>
      <c r="L14" s="12">
        <v>35.6</v>
      </c>
      <c r="M14" s="12">
        <v>257.5</v>
      </c>
      <c r="N14" s="18">
        <v>631680555</v>
      </c>
    </row>
    <row r="15" spans="1:14" x14ac:dyDescent="0.3">
      <c r="A15" s="17">
        <v>4</v>
      </c>
      <c r="B15" s="3" t="s">
        <v>32</v>
      </c>
      <c r="C15" s="3" t="s">
        <v>38</v>
      </c>
      <c r="D15" s="3" t="s">
        <v>37</v>
      </c>
      <c r="E15" s="3" t="s">
        <v>9</v>
      </c>
      <c r="F15" s="12">
        <v>12.9</v>
      </c>
      <c r="G15" s="12">
        <v>624.6</v>
      </c>
      <c r="H15" s="15">
        <v>225770813</v>
      </c>
      <c r="I15" s="12">
        <v>14</v>
      </c>
      <c r="J15" s="12">
        <v>681.9</v>
      </c>
      <c r="K15" s="15">
        <v>247602015</v>
      </c>
      <c r="L15" s="12">
        <v>14.5</v>
      </c>
      <c r="M15" s="12">
        <v>715.3</v>
      </c>
      <c r="N15" s="18">
        <v>256868581</v>
      </c>
    </row>
    <row r="16" spans="1:14" x14ac:dyDescent="0.3">
      <c r="A16" s="17">
        <v>5</v>
      </c>
      <c r="B16" s="3" t="s">
        <v>39</v>
      </c>
      <c r="C16" s="3" t="s">
        <v>41</v>
      </c>
      <c r="D16" s="3" t="s">
        <v>40</v>
      </c>
      <c r="E16" s="3" t="s">
        <v>9</v>
      </c>
      <c r="F16" s="12">
        <v>14.6</v>
      </c>
      <c r="G16" s="12">
        <v>962.9</v>
      </c>
      <c r="H16" s="15">
        <v>256904431</v>
      </c>
      <c r="I16" s="12">
        <v>15.5</v>
      </c>
      <c r="J16" s="12">
        <v>1027.2</v>
      </c>
      <c r="K16" s="15">
        <v>274809675</v>
      </c>
      <c r="L16" s="12">
        <v>12.5</v>
      </c>
      <c r="M16" s="12">
        <v>830.4</v>
      </c>
      <c r="N16" s="18">
        <v>221980925</v>
      </c>
    </row>
    <row r="17" spans="1:14" x14ac:dyDescent="0.3">
      <c r="A17" s="17">
        <v>5</v>
      </c>
      <c r="B17" s="3" t="s">
        <v>39</v>
      </c>
      <c r="C17" s="3" t="s">
        <v>43</v>
      </c>
      <c r="D17" s="3" t="s">
        <v>42</v>
      </c>
      <c r="E17" s="3" t="s">
        <v>9</v>
      </c>
      <c r="F17" s="12">
        <v>5.6</v>
      </c>
      <c r="G17" s="12">
        <v>3453.3</v>
      </c>
      <c r="H17" s="15">
        <v>97672444</v>
      </c>
      <c r="I17" s="12">
        <v>6.6</v>
      </c>
      <c r="J17" s="12">
        <v>3612.6</v>
      </c>
      <c r="K17" s="15">
        <v>117184791</v>
      </c>
      <c r="L17" s="12">
        <v>5.8</v>
      </c>
      <c r="M17" s="12">
        <v>3694.5</v>
      </c>
      <c r="N17" s="18">
        <v>103278841</v>
      </c>
    </row>
    <row r="18" spans="1:14" x14ac:dyDescent="0.3">
      <c r="A18" s="17">
        <v>6</v>
      </c>
      <c r="B18" s="3" t="s">
        <v>44</v>
      </c>
      <c r="C18" s="3" t="s">
        <v>46</v>
      </c>
      <c r="D18" s="3" t="s">
        <v>45</v>
      </c>
      <c r="E18" s="3" t="s">
        <v>9</v>
      </c>
      <c r="F18" s="12">
        <v>16.5</v>
      </c>
      <c r="G18" s="12">
        <v>578</v>
      </c>
      <c r="H18" s="15">
        <v>290247646</v>
      </c>
      <c r="I18" s="12">
        <v>18.600000000000001</v>
      </c>
      <c r="J18" s="12">
        <v>633.70000000000005</v>
      </c>
      <c r="K18" s="15">
        <v>328165820</v>
      </c>
      <c r="L18" s="12">
        <v>20.399999999999999</v>
      </c>
      <c r="M18" s="12">
        <v>675.3</v>
      </c>
      <c r="N18" s="18">
        <v>361761210</v>
      </c>
    </row>
    <row r="19" spans="1:14" x14ac:dyDescent="0.3">
      <c r="A19" s="17">
        <v>6</v>
      </c>
      <c r="B19" s="3" t="s">
        <v>44</v>
      </c>
      <c r="C19" s="3" t="s">
        <v>48</v>
      </c>
      <c r="D19" s="3" t="s">
        <v>47</v>
      </c>
      <c r="E19" s="3" t="s">
        <v>9</v>
      </c>
      <c r="F19" s="12">
        <v>20.6</v>
      </c>
      <c r="G19" s="12">
        <v>104.8</v>
      </c>
      <c r="H19" s="15">
        <v>361510165</v>
      </c>
      <c r="I19" s="12"/>
      <c r="J19" s="12"/>
      <c r="K19" s="15"/>
      <c r="L19" s="12"/>
      <c r="M19" s="12"/>
      <c r="N19" s="18"/>
    </row>
    <row r="20" spans="1:14" x14ac:dyDescent="0.3">
      <c r="A20" s="17">
        <v>6</v>
      </c>
      <c r="B20" s="3" t="s">
        <v>44</v>
      </c>
      <c r="C20" s="3" t="s">
        <v>50</v>
      </c>
      <c r="D20" s="3" t="s">
        <v>49</v>
      </c>
      <c r="E20" s="3" t="s">
        <v>9</v>
      </c>
      <c r="F20" s="12"/>
      <c r="G20" s="12"/>
      <c r="H20" s="15"/>
      <c r="I20" s="12">
        <v>0.7</v>
      </c>
      <c r="J20" s="12"/>
      <c r="K20" s="15">
        <v>12489383</v>
      </c>
      <c r="L20" s="12">
        <v>0.8</v>
      </c>
      <c r="M20" s="12"/>
      <c r="N20" s="18">
        <v>13516994</v>
      </c>
    </row>
    <row r="21" spans="1:14" x14ac:dyDescent="0.3">
      <c r="A21" s="17">
        <v>6</v>
      </c>
      <c r="B21" s="3" t="s">
        <v>44</v>
      </c>
      <c r="C21" s="3" t="s">
        <v>52</v>
      </c>
      <c r="D21" s="3" t="s">
        <v>51</v>
      </c>
      <c r="E21" s="3" t="s">
        <v>9</v>
      </c>
      <c r="F21" s="12"/>
      <c r="G21" s="12"/>
      <c r="H21" s="15"/>
      <c r="I21" s="12">
        <v>22.3</v>
      </c>
      <c r="J21" s="12">
        <v>109.8</v>
      </c>
      <c r="K21" s="15">
        <v>394399690</v>
      </c>
      <c r="L21" s="12">
        <v>23.4</v>
      </c>
      <c r="M21" s="12">
        <v>121.7</v>
      </c>
      <c r="N21" s="18">
        <v>416425691</v>
      </c>
    </row>
    <row r="22" spans="1:14" x14ac:dyDescent="0.3">
      <c r="A22" s="17">
        <v>6</v>
      </c>
      <c r="B22" s="3" t="s">
        <v>44</v>
      </c>
      <c r="C22" s="3" t="s">
        <v>54</v>
      </c>
      <c r="D22" s="3" t="s">
        <v>53</v>
      </c>
      <c r="E22" s="3" t="s">
        <v>9</v>
      </c>
      <c r="F22" s="12">
        <v>53</v>
      </c>
      <c r="G22" s="12">
        <v>189.6</v>
      </c>
      <c r="H22" s="15">
        <v>931084690</v>
      </c>
      <c r="I22" s="12">
        <v>58.6</v>
      </c>
      <c r="J22" s="12">
        <v>200.3</v>
      </c>
      <c r="K22" s="15">
        <v>1035707659</v>
      </c>
      <c r="L22" s="12">
        <v>66.099999999999994</v>
      </c>
      <c r="M22" s="12">
        <v>212.9</v>
      </c>
      <c r="N22" s="18">
        <v>1174129338</v>
      </c>
    </row>
    <row r="23" spans="1:14" x14ac:dyDescent="0.3">
      <c r="A23" s="17">
        <v>6</v>
      </c>
      <c r="B23" s="3" t="s">
        <v>44</v>
      </c>
      <c r="C23" s="3" t="s">
        <v>56</v>
      </c>
      <c r="D23" s="3" t="s">
        <v>55</v>
      </c>
      <c r="E23" s="3" t="s">
        <v>9</v>
      </c>
      <c r="F23" s="12">
        <v>144.80000000000001</v>
      </c>
      <c r="G23" s="12"/>
      <c r="H23" s="15">
        <v>2544039147</v>
      </c>
      <c r="I23" s="12">
        <v>146</v>
      </c>
      <c r="J23" s="12"/>
      <c r="K23" s="15">
        <v>2581265292</v>
      </c>
      <c r="L23" s="12">
        <v>151.69999999999999</v>
      </c>
      <c r="M23" s="12"/>
      <c r="N23" s="18">
        <v>2695423032</v>
      </c>
    </row>
    <row r="24" spans="1:14" x14ac:dyDescent="0.3">
      <c r="A24" s="17">
        <v>6</v>
      </c>
      <c r="B24" s="3" t="s">
        <v>44</v>
      </c>
      <c r="C24" s="3" t="s">
        <v>58</v>
      </c>
      <c r="D24" s="3" t="s">
        <v>57</v>
      </c>
      <c r="E24" s="3" t="s">
        <v>9</v>
      </c>
      <c r="F24" s="12">
        <v>58.1</v>
      </c>
      <c r="G24" s="12">
        <v>12810</v>
      </c>
      <c r="H24" s="15">
        <v>1020072344</v>
      </c>
      <c r="I24" s="12">
        <v>64.8</v>
      </c>
      <c r="J24" s="12">
        <v>13922.7</v>
      </c>
      <c r="K24" s="15">
        <v>1146185557</v>
      </c>
      <c r="L24" s="12">
        <v>68.2</v>
      </c>
      <c r="M24" s="12">
        <v>14832.6</v>
      </c>
      <c r="N24" s="18">
        <v>1210629800</v>
      </c>
    </row>
    <row r="25" spans="1:14" x14ac:dyDescent="0.3">
      <c r="A25" s="17">
        <v>6</v>
      </c>
      <c r="B25" s="3" t="s">
        <v>44</v>
      </c>
      <c r="C25" s="3" t="s">
        <v>60</v>
      </c>
      <c r="D25" s="3" t="s">
        <v>59</v>
      </c>
      <c r="E25" s="3" t="s">
        <v>9</v>
      </c>
      <c r="F25" s="12">
        <v>207.5</v>
      </c>
      <c r="G25" s="12">
        <v>4091.5</v>
      </c>
      <c r="H25" s="15">
        <v>3644546566</v>
      </c>
      <c r="I25" s="12">
        <v>219.2</v>
      </c>
      <c r="J25" s="12">
        <v>4310.2</v>
      </c>
      <c r="K25" s="15">
        <v>3874804697</v>
      </c>
      <c r="L25" s="12">
        <v>232.4</v>
      </c>
      <c r="M25" s="12">
        <v>4578.8999999999996</v>
      </c>
      <c r="N25" s="18">
        <v>4127234538</v>
      </c>
    </row>
    <row r="26" spans="1:14" x14ac:dyDescent="0.3">
      <c r="A26" s="17">
        <v>6</v>
      </c>
      <c r="B26" s="3" t="s">
        <v>44</v>
      </c>
      <c r="C26" s="3" t="s">
        <v>62</v>
      </c>
      <c r="D26" s="3" t="s">
        <v>61</v>
      </c>
      <c r="E26" s="3" t="s">
        <v>9</v>
      </c>
      <c r="F26" s="12">
        <v>989.3</v>
      </c>
      <c r="G26" s="12">
        <v>2564.5</v>
      </c>
      <c r="H26" s="15">
        <v>17380745074</v>
      </c>
      <c r="I26" s="12">
        <v>1069.7</v>
      </c>
      <c r="J26" s="12">
        <v>2732.1</v>
      </c>
      <c r="K26" s="15">
        <v>18907824444</v>
      </c>
      <c r="L26" s="12">
        <v>1153.7</v>
      </c>
      <c r="M26" s="12">
        <v>2909.9</v>
      </c>
      <c r="N26" s="18">
        <v>20492792551</v>
      </c>
    </row>
    <row r="27" spans="1:14" x14ac:dyDescent="0.3">
      <c r="A27" s="17">
        <v>6</v>
      </c>
      <c r="B27" s="3" t="s">
        <v>44</v>
      </c>
      <c r="C27" s="3" t="s">
        <v>64</v>
      </c>
      <c r="D27" s="3" t="s">
        <v>63</v>
      </c>
      <c r="E27" s="3" t="s">
        <v>9</v>
      </c>
      <c r="F27" s="12">
        <v>5.3</v>
      </c>
      <c r="G27" s="12">
        <v>9064.2000000000007</v>
      </c>
      <c r="H27" s="15">
        <v>92944797</v>
      </c>
      <c r="I27" s="12">
        <v>6.4</v>
      </c>
      <c r="J27" s="12">
        <v>16155.6</v>
      </c>
      <c r="K27" s="15">
        <v>113444570</v>
      </c>
      <c r="L27" s="12">
        <v>7.5</v>
      </c>
      <c r="M27" s="12">
        <v>25370.2</v>
      </c>
      <c r="N27" s="18">
        <v>132420249</v>
      </c>
    </row>
    <row r="28" spans="1:14" x14ac:dyDescent="0.3">
      <c r="A28" s="17">
        <v>6</v>
      </c>
      <c r="B28" s="3" t="s">
        <v>44</v>
      </c>
      <c r="C28" s="3" t="s">
        <v>65</v>
      </c>
      <c r="D28" s="3" t="s">
        <v>24</v>
      </c>
      <c r="E28" s="3" t="s">
        <v>9</v>
      </c>
      <c r="F28" s="12">
        <v>9.6</v>
      </c>
      <c r="G28" s="12"/>
      <c r="H28" s="15">
        <v>168113733</v>
      </c>
      <c r="I28" s="12"/>
      <c r="J28" s="12"/>
      <c r="K28" s="15"/>
      <c r="L28" s="12"/>
      <c r="M28" s="12"/>
      <c r="N28" s="18"/>
    </row>
    <row r="29" spans="1:14" x14ac:dyDescent="0.3">
      <c r="A29" s="17">
        <v>6</v>
      </c>
      <c r="B29" s="3" t="s">
        <v>44</v>
      </c>
      <c r="C29" s="3" t="s">
        <v>66</v>
      </c>
      <c r="D29" s="3" t="s">
        <v>25</v>
      </c>
      <c r="E29" s="3" t="s">
        <v>9</v>
      </c>
      <c r="F29" s="12">
        <v>12.8</v>
      </c>
      <c r="G29" s="12"/>
      <c r="H29" s="15">
        <v>225298803</v>
      </c>
      <c r="I29" s="12">
        <v>5.9</v>
      </c>
      <c r="J29" s="12"/>
      <c r="K29" s="15">
        <v>104497854</v>
      </c>
      <c r="L29" s="12"/>
      <c r="M29" s="12"/>
      <c r="N29" s="18"/>
    </row>
    <row r="30" spans="1:14" x14ac:dyDescent="0.3">
      <c r="A30" s="17">
        <v>7</v>
      </c>
      <c r="B30" s="3" t="s">
        <v>67</v>
      </c>
      <c r="C30" s="3" t="s">
        <v>69</v>
      </c>
      <c r="D30" s="3" t="s">
        <v>68</v>
      </c>
      <c r="E30" s="3" t="s">
        <v>9</v>
      </c>
      <c r="F30" s="12">
        <v>37.299999999999997</v>
      </c>
      <c r="G30" s="12">
        <v>694.3</v>
      </c>
      <c r="H30" s="15">
        <v>655883745</v>
      </c>
      <c r="I30" s="12">
        <v>39.299999999999997</v>
      </c>
      <c r="J30" s="12">
        <v>747.3</v>
      </c>
      <c r="K30" s="15">
        <v>694590027</v>
      </c>
      <c r="L30" s="12">
        <v>41.7</v>
      </c>
      <c r="M30" s="12">
        <v>793.9</v>
      </c>
      <c r="N30" s="18">
        <v>741358580</v>
      </c>
    </row>
    <row r="31" spans="1:14" x14ac:dyDescent="0.3">
      <c r="A31" s="17">
        <v>7</v>
      </c>
      <c r="B31" s="3" t="s">
        <v>67</v>
      </c>
      <c r="C31" s="3" t="s">
        <v>71</v>
      </c>
      <c r="D31" s="3" t="s">
        <v>70</v>
      </c>
      <c r="E31" s="3" t="s">
        <v>9</v>
      </c>
      <c r="F31" s="12">
        <v>1.8</v>
      </c>
      <c r="G31" s="12">
        <v>548.1</v>
      </c>
      <c r="H31" s="15">
        <v>32205535</v>
      </c>
      <c r="I31" s="12">
        <v>1.9</v>
      </c>
      <c r="J31" s="12">
        <v>591.29999999999995</v>
      </c>
      <c r="K31" s="15">
        <v>33701661</v>
      </c>
      <c r="L31" s="12">
        <v>2</v>
      </c>
      <c r="M31" s="12">
        <v>637.9</v>
      </c>
      <c r="N31" s="18">
        <v>36152937</v>
      </c>
    </row>
    <row r="32" spans="1:14" x14ac:dyDescent="0.3">
      <c r="A32" s="17">
        <v>7</v>
      </c>
      <c r="B32" s="3" t="s">
        <v>67</v>
      </c>
      <c r="C32" s="3" t="s">
        <v>73</v>
      </c>
      <c r="D32" s="3" t="s">
        <v>72</v>
      </c>
      <c r="E32" s="3" t="s">
        <v>9</v>
      </c>
      <c r="F32" s="12">
        <v>10.4</v>
      </c>
      <c r="G32" s="12">
        <v>627.20000000000005</v>
      </c>
      <c r="H32" s="15">
        <v>181961434</v>
      </c>
      <c r="I32" s="12">
        <v>10.9</v>
      </c>
      <c r="J32" s="12">
        <v>659.8</v>
      </c>
      <c r="K32" s="15">
        <v>191902679</v>
      </c>
      <c r="L32" s="12">
        <v>11.4</v>
      </c>
      <c r="M32" s="12">
        <v>692.9</v>
      </c>
      <c r="N32" s="18">
        <v>202823570</v>
      </c>
    </row>
    <row r="33" spans="1:14" x14ac:dyDescent="0.3">
      <c r="A33" s="17">
        <v>7</v>
      </c>
      <c r="B33" s="3" t="s">
        <v>67</v>
      </c>
      <c r="C33" s="3" t="s">
        <v>75</v>
      </c>
      <c r="D33" s="3" t="s">
        <v>74</v>
      </c>
      <c r="E33" s="3" t="s">
        <v>9</v>
      </c>
      <c r="F33" s="12">
        <v>4.5</v>
      </c>
      <c r="G33" s="12">
        <v>279</v>
      </c>
      <c r="H33" s="15">
        <v>79606147</v>
      </c>
      <c r="I33" s="12">
        <v>4.9000000000000004</v>
      </c>
      <c r="J33" s="12">
        <v>294.7</v>
      </c>
      <c r="K33" s="15">
        <v>86887189</v>
      </c>
      <c r="L33" s="12">
        <v>5.3</v>
      </c>
      <c r="M33" s="12">
        <v>312</v>
      </c>
      <c r="N33" s="18">
        <v>94252236</v>
      </c>
    </row>
    <row r="34" spans="1:14" x14ac:dyDescent="0.3">
      <c r="A34" s="17">
        <v>7</v>
      </c>
      <c r="B34" s="3" t="s">
        <v>67</v>
      </c>
      <c r="C34" s="3" t="s">
        <v>77</v>
      </c>
      <c r="D34" s="3" t="s">
        <v>76</v>
      </c>
      <c r="E34" s="3" t="s">
        <v>9</v>
      </c>
      <c r="F34" s="12">
        <v>3.1</v>
      </c>
      <c r="G34" s="12">
        <v>129.9</v>
      </c>
      <c r="H34" s="15">
        <v>54907226</v>
      </c>
      <c r="I34" s="12">
        <v>3.3</v>
      </c>
      <c r="J34" s="12">
        <v>136.5</v>
      </c>
      <c r="K34" s="15">
        <v>58044632</v>
      </c>
      <c r="L34" s="12">
        <v>3.6</v>
      </c>
      <c r="M34" s="12">
        <v>145.19999999999999</v>
      </c>
      <c r="N34" s="18">
        <v>64569518</v>
      </c>
    </row>
    <row r="35" spans="1:14" x14ac:dyDescent="0.3">
      <c r="A35" s="17">
        <v>7</v>
      </c>
      <c r="B35" s="3" t="s">
        <v>67</v>
      </c>
      <c r="C35" s="3" t="s">
        <v>79</v>
      </c>
      <c r="D35" s="3" t="s">
        <v>78</v>
      </c>
      <c r="E35" s="3" t="s">
        <v>9</v>
      </c>
      <c r="F35" s="12">
        <v>1.2</v>
      </c>
      <c r="G35" s="12">
        <v>334.5</v>
      </c>
      <c r="H35" s="15">
        <v>21811723</v>
      </c>
      <c r="I35" s="12">
        <v>2.4</v>
      </c>
      <c r="J35" s="12">
        <v>477.1</v>
      </c>
      <c r="K35" s="15">
        <v>42449246</v>
      </c>
      <c r="L35" s="12">
        <v>2.9</v>
      </c>
      <c r="M35" s="12">
        <v>479.4</v>
      </c>
      <c r="N35" s="18">
        <v>51007873</v>
      </c>
    </row>
    <row r="36" spans="1:14" x14ac:dyDescent="0.3">
      <c r="A36" s="17">
        <v>8</v>
      </c>
      <c r="B36" s="3" t="s">
        <v>80</v>
      </c>
      <c r="C36" s="3" t="s">
        <v>81</v>
      </c>
      <c r="D36" s="3" t="s">
        <v>80</v>
      </c>
      <c r="E36" s="3" t="s">
        <v>9</v>
      </c>
      <c r="F36" s="12">
        <v>100.5</v>
      </c>
      <c r="G36" s="12"/>
      <c r="H36" s="15">
        <v>1765186124</v>
      </c>
      <c r="I36" s="12">
        <v>106.7</v>
      </c>
      <c r="J36" s="12"/>
      <c r="K36" s="15">
        <v>1886258857</v>
      </c>
      <c r="L36" s="12">
        <v>113.3</v>
      </c>
      <c r="M36" s="12"/>
      <c r="N36" s="18">
        <v>2011735055</v>
      </c>
    </row>
    <row r="37" spans="1:14" x14ac:dyDescent="0.3">
      <c r="A37" s="17">
        <v>8</v>
      </c>
      <c r="B37" s="3" t="s">
        <v>80</v>
      </c>
      <c r="C37" s="3" t="s">
        <v>82</v>
      </c>
      <c r="D37" s="3" t="s">
        <v>24</v>
      </c>
      <c r="E37" s="3" t="s">
        <v>9</v>
      </c>
      <c r="F37" s="12">
        <v>0</v>
      </c>
      <c r="G37" s="12"/>
      <c r="H37" s="15">
        <v>250750</v>
      </c>
      <c r="I37" s="12"/>
      <c r="J37" s="12"/>
      <c r="K37" s="15"/>
      <c r="L37" s="12"/>
      <c r="M37" s="12"/>
      <c r="N37" s="18"/>
    </row>
    <row r="38" spans="1:14" x14ac:dyDescent="0.3">
      <c r="A38" s="17">
        <v>9</v>
      </c>
      <c r="B38" s="3" t="s">
        <v>83</v>
      </c>
      <c r="C38" s="3" t="s">
        <v>85</v>
      </c>
      <c r="D38" s="3" t="s">
        <v>84</v>
      </c>
      <c r="E38" s="3" t="s">
        <v>9</v>
      </c>
      <c r="F38" s="12">
        <v>38.799999999999997</v>
      </c>
      <c r="G38" s="12">
        <v>1085.7</v>
      </c>
      <c r="H38" s="15">
        <v>681497450</v>
      </c>
      <c r="I38" s="12">
        <v>40</v>
      </c>
      <c r="J38" s="12">
        <v>1163.3</v>
      </c>
      <c r="K38" s="15">
        <v>707718277</v>
      </c>
      <c r="L38" s="12">
        <v>42.5</v>
      </c>
      <c r="M38" s="12">
        <v>1210.8</v>
      </c>
      <c r="N38" s="18">
        <v>754376764</v>
      </c>
    </row>
    <row r="39" spans="1:14" x14ac:dyDescent="0.3">
      <c r="A39" s="17">
        <v>9</v>
      </c>
      <c r="B39" s="3" t="s">
        <v>83</v>
      </c>
      <c r="C39" s="3" t="s">
        <v>87</v>
      </c>
      <c r="D39" s="3" t="s">
        <v>86</v>
      </c>
      <c r="E39" s="3" t="s">
        <v>9</v>
      </c>
      <c r="F39" s="12">
        <v>5.6</v>
      </c>
      <c r="G39" s="12"/>
      <c r="H39" s="15">
        <v>98662618</v>
      </c>
      <c r="I39" s="12">
        <v>8.3000000000000007</v>
      </c>
      <c r="J39" s="12"/>
      <c r="K39" s="15">
        <v>146211265</v>
      </c>
      <c r="L39" s="12">
        <v>10</v>
      </c>
      <c r="M39" s="12"/>
      <c r="N39" s="18">
        <v>176975882</v>
      </c>
    </row>
    <row r="40" spans="1:14" x14ac:dyDescent="0.3">
      <c r="A40" s="17">
        <v>9</v>
      </c>
      <c r="B40" s="3" t="s">
        <v>83</v>
      </c>
      <c r="C40" s="3" t="s">
        <v>89</v>
      </c>
      <c r="D40" s="3" t="s">
        <v>88</v>
      </c>
      <c r="E40" s="3" t="s">
        <v>9</v>
      </c>
      <c r="F40" s="12">
        <v>6.7</v>
      </c>
      <c r="G40" s="12">
        <v>1207665.8</v>
      </c>
      <c r="H40" s="15">
        <v>117143580</v>
      </c>
      <c r="I40" s="12">
        <v>7.3</v>
      </c>
      <c r="J40" s="12">
        <v>1734867</v>
      </c>
      <c r="K40" s="15">
        <v>128380157</v>
      </c>
      <c r="L40" s="12">
        <v>7.2</v>
      </c>
      <c r="M40" s="12"/>
      <c r="N40" s="18">
        <v>127745351</v>
      </c>
    </row>
    <row r="41" spans="1:14" x14ac:dyDescent="0.3">
      <c r="A41" s="17">
        <v>9</v>
      </c>
      <c r="B41" s="3" t="s">
        <v>83</v>
      </c>
      <c r="C41" s="3" t="s">
        <v>90</v>
      </c>
      <c r="D41" s="3" t="s">
        <v>24</v>
      </c>
      <c r="E41" s="3" t="s">
        <v>9</v>
      </c>
      <c r="F41" s="12">
        <v>0</v>
      </c>
      <c r="G41" s="12"/>
      <c r="H41" s="15">
        <v>25093</v>
      </c>
      <c r="I41" s="12"/>
      <c r="J41" s="12"/>
      <c r="K41" s="15"/>
      <c r="L41" s="12"/>
      <c r="M41" s="12"/>
      <c r="N41" s="18"/>
    </row>
    <row r="42" spans="1:14" x14ac:dyDescent="0.3">
      <c r="A42" s="17">
        <v>10</v>
      </c>
      <c r="B42" s="3" t="s">
        <v>91</v>
      </c>
      <c r="C42" s="3" t="s">
        <v>93</v>
      </c>
      <c r="D42" s="3" t="s">
        <v>92</v>
      </c>
      <c r="E42" s="3" t="s">
        <v>9</v>
      </c>
      <c r="F42" s="12">
        <v>187.9</v>
      </c>
      <c r="G42" s="12">
        <v>3673.7</v>
      </c>
      <c r="H42" s="15">
        <v>3300473527</v>
      </c>
      <c r="I42" s="12">
        <v>207.5</v>
      </c>
      <c r="J42" s="12">
        <v>3885.7</v>
      </c>
      <c r="K42" s="15">
        <v>3667577151</v>
      </c>
      <c r="L42" s="12">
        <v>231.1</v>
      </c>
      <c r="M42" s="12">
        <v>4285.5</v>
      </c>
      <c r="N42" s="18">
        <v>4105296650</v>
      </c>
    </row>
    <row r="43" spans="1:14" x14ac:dyDescent="0.3">
      <c r="A43" s="17">
        <v>10</v>
      </c>
      <c r="B43" s="3" t="s">
        <v>91</v>
      </c>
      <c r="C43" s="3" t="s">
        <v>95</v>
      </c>
      <c r="D43" s="3" t="s">
        <v>94</v>
      </c>
      <c r="E43" s="3" t="s">
        <v>9</v>
      </c>
      <c r="F43" s="12">
        <v>61.7</v>
      </c>
      <c r="G43" s="12">
        <v>22887.3</v>
      </c>
      <c r="H43" s="15">
        <v>1083096335</v>
      </c>
      <c r="I43" s="12">
        <v>64.7</v>
      </c>
      <c r="J43" s="12">
        <v>24218.7</v>
      </c>
      <c r="K43" s="15">
        <v>1142857211</v>
      </c>
      <c r="L43" s="12">
        <v>69.400000000000006</v>
      </c>
      <c r="M43" s="12">
        <v>25619.4</v>
      </c>
      <c r="N43" s="18">
        <v>1232158206</v>
      </c>
    </row>
    <row r="44" spans="1:14" x14ac:dyDescent="0.3">
      <c r="A44" s="17">
        <v>10</v>
      </c>
      <c r="B44" s="3" t="s">
        <v>91</v>
      </c>
      <c r="C44" s="3" t="s">
        <v>97</v>
      </c>
      <c r="D44" s="3" t="s">
        <v>96</v>
      </c>
      <c r="E44" s="3" t="s">
        <v>9</v>
      </c>
      <c r="F44" s="12">
        <v>11.2</v>
      </c>
      <c r="G44" s="12">
        <v>2902.4</v>
      </c>
      <c r="H44" s="15">
        <v>197529178</v>
      </c>
      <c r="I44" s="12">
        <v>12.1</v>
      </c>
      <c r="J44" s="12">
        <v>2681.1</v>
      </c>
      <c r="K44" s="15">
        <v>214014668</v>
      </c>
      <c r="L44" s="12">
        <v>12.6</v>
      </c>
      <c r="M44" s="12">
        <v>2903.1</v>
      </c>
      <c r="N44" s="18">
        <v>224350963</v>
      </c>
    </row>
    <row r="45" spans="1:14" x14ac:dyDescent="0.3">
      <c r="A45" s="17">
        <v>10</v>
      </c>
      <c r="B45" s="3" t="s">
        <v>91</v>
      </c>
      <c r="C45" s="3" t="s">
        <v>98</v>
      </c>
      <c r="D45" s="3" t="s">
        <v>24</v>
      </c>
      <c r="E45" s="3" t="s">
        <v>9</v>
      </c>
      <c r="F45" s="12">
        <v>0.3</v>
      </c>
      <c r="G45" s="12"/>
      <c r="H45" s="15">
        <v>5880921</v>
      </c>
      <c r="I45" s="12"/>
      <c r="J45" s="12"/>
      <c r="K45" s="15"/>
      <c r="L45" s="12"/>
      <c r="M45" s="12"/>
      <c r="N45" s="18"/>
    </row>
    <row r="46" spans="1:14" x14ac:dyDescent="0.3">
      <c r="A46" s="17">
        <v>11</v>
      </c>
      <c r="B46" s="3" t="s">
        <v>99</v>
      </c>
      <c r="C46" s="3" t="s">
        <v>101</v>
      </c>
      <c r="D46" s="3" t="s">
        <v>100</v>
      </c>
      <c r="E46" s="3" t="s">
        <v>9</v>
      </c>
      <c r="F46" s="12">
        <v>44</v>
      </c>
      <c r="G46" s="12">
        <v>14105.4</v>
      </c>
      <c r="H46" s="15">
        <v>772776147</v>
      </c>
      <c r="I46" s="12">
        <v>47.6</v>
      </c>
      <c r="J46" s="12">
        <v>14726.2</v>
      </c>
      <c r="K46" s="15">
        <v>841148330</v>
      </c>
      <c r="L46" s="12">
        <v>51.1</v>
      </c>
      <c r="M46" s="12">
        <v>15681</v>
      </c>
      <c r="N46" s="18">
        <v>908330081</v>
      </c>
    </row>
    <row r="47" spans="1:14" x14ac:dyDescent="0.3">
      <c r="A47" s="17">
        <v>11</v>
      </c>
      <c r="B47" s="3" t="s">
        <v>99</v>
      </c>
      <c r="C47" s="3" t="s">
        <v>103</v>
      </c>
      <c r="D47" s="3" t="s">
        <v>102</v>
      </c>
      <c r="E47" s="3" t="s">
        <v>9</v>
      </c>
      <c r="F47" s="12">
        <v>16.600000000000001</v>
      </c>
      <c r="G47" s="12">
        <v>7830.3</v>
      </c>
      <c r="H47" s="15">
        <v>290952232</v>
      </c>
      <c r="I47" s="12">
        <v>17.5</v>
      </c>
      <c r="J47" s="12">
        <v>8440.2999999999993</v>
      </c>
      <c r="K47" s="15">
        <v>309100101</v>
      </c>
      <c r="L47" s="12">
        <v>17.8</v>
      </c>
      <c r="M47" s="12">
        <v>8647.7999999999993</v>
      </c>
      <c r="N47" s="18">
        <v>316981801</v>
      </c>
    </row>
    <row r="48" spans="1:14" x14ac:dyDescent="0.3">
      <c r="A48" s="17">
        <v>11</v>
      </c>
      <c r="B48" s="3" t="s">
        <v>99</v>
      </c>
      <c r="C48" s="3" t="s">
        <v>105</v>
      </c>
      <c r="D48" s="3" t="s">
        <v>104</v>
      </c>
      <c r="E48" s="3" t="s">
        <v>9</v>
      </c>
      <c r="F48" s="12">
        <v>4.2</v>
      </c>
      <c r="G48" s="12">
        <v>2216.6</v>
      </c>
      <c r="H48" s="15">
        <v>74175798</v>
      </c>
      <c r="I48" s="12">
        <v>5.0999999999999996</v>
      </c>
      <c r="J48" s="12">
        <v>2466.8000000000002</v>
      </c>
      <c r="K48" s="15">
        <v>90045401</v>
      </c>
      <c r="L48" s="12">
        <v>5.5</v>
      </c>
      <c r="M48" s="12">
        <v>2416.8000000000002</v>
      </c>
      <c r="N48" s="18">
        <v>98086019</v>
      </c>
    </row>
    <row r="49" spans="1:14" x14ac:dyDescent="0.3">
      <c r="A49" s="17">
        <v>11</v>
      </c>
      <c r="B49" s="3" t="s">
        <v>99</v>
      </c>
      <c r="C49" s="3" t="s">
        <v>107</v>
      </c>
      <c r="D49" s="3" t="s">
        <v>106</v>
      </c>
      <c r="E49" s="3" t="s">
        <v>9</v>
      </c>
      <c r="F49" s="12">
        <v>0.3</v>
      </c>
      <c r="G49" s="12"/>
      <c r="H49" s="15">
        <v>4695657</v>
      </c>
      <c r="I49" s="12"/>
      <c r="J49" s="12"/>
      <c r="K49" s="15"/>
      <c r="L49" s="12"/>
      <c r="M49" s="12"/>
      <c r="N49" s="18"/>
    </row>
    <row r="50" spans="1:14" x14ac:dyDescent="0.3">
      <c r="A50" s="17">
        <v>12</v>
      </c>
      <c r="B50" s="3" t="s">
        <v>108</v>
      </c>
      <c r="C50" s="3" t="s">
        <v>109</v>
      </c>
      <c r="D50" s="3" t="s">
        <v>108</v>
      </c>
      <c r="E50" s="3" t="s">
        <v>9</v>
      </c>
      <c r="F50" s="12">
        <v>18.2</v>
      </c>
      <c r="G50" s="12">
        <v>1423</v>
      </c>
      <c r="H50" s="15">
        <v>319463575</v>
      </c>
      <c r="I50" s="12">
        <v>19.7</v>
      </c>
      <c r="J50" s="12">
        <v>1567.8</v>
      </c>
      <c r="K50" s="15">
        <v>348130805</v>
      </c>
      <c r="L50" s="12">
        <v>20.7</v>
      </c>
      <c r="M50" s="12">
        <v>1644.6</v>
      </c>
      <c r="N50" s="18">
        <v>367217755</v>
      </c>
    </row>
    <row r="51" spans="1:14" x14ac:dyDescent="0.3">
      <c r="A51" s="17">
        <v>13</v>
      </c>
      <c r="B51" s="3" t="s">
        <v>110</v>
      </c>
      <c r="C51" s="3" t="s">
        <v>112</v>
      </c>
      <c r="D51" s="3" t="s">
        <v>111</v>
      </c>
      <c r="E51" s="3" t="s">
        <v>9</v>
      </c>
      <c r="F51" s="12">
        <v>1</v>
      </c>
      <c r="G51" s="12"/>
      <c r="H51" s="15">
        <v>17757492</v>
      </c>
      <c r="I51" s="12">
        <v>1.3</v>
      </c>
      <c r="J51" s="12"/>
      <c r="K51" s="15">
        <v>22554819</v>
      </c>
      <c r="L51" s="12">
        <v>1.4</v>
      </c>
      <c r="M51" s="12"/>
      <c r="N51" s="18">
        <v>24456575</v>
      </c>
    </row>
    <row r="52" spans="1:14" x14ac:dyDescent="0.3">
      <c r="A52" s="17">
        <v>13</v>
      </c>
      <c r="B52" s="3" t="s">
        <v>110</v>
      </c>
      <c r="C52" s="3" t="s">
        <v>114</v>
      </c>
      <c r="D52" s="3" t="s">
        <v>113</v>
      </c>
      <c r="E52" s="3" t="s">
        <v>9</v>
      </c>
      <c r="F52" s="12">
        <v>3.9</v>
      </c>
      <c r="G52" s="12">
        <v>197.7</v>
      </c>
      <c r="H52" s="15">
        <v>67825946</v>
      </c>
      <c r="I52" s="12">
        <v>4.9000000000000004</v>
      </c>
      <c r="J52" s="12">
        <v>216.2</v>
      </c>
      <c r="K52" s="15">
        <v>86792795</v>
      </c>
      <c r="L52" s="12">
        <v>5.8</v>
      </c>
      <c r="M52" s="12">
        <v>229.6</v>
      </c>
      <c r="N52" s="18">
        <v>102216606</v>
      </c>
    </row>
    <row r="53" spans="1:14" x14ac:dyDescent="0.3">
      <c r="A53" s="17">
        <v>13</v>
      </c>
      <c r="B53" s="3" t="s">
        <v>110</v>
      </c>
      <c r="C53" s="3" t="s">
        <v>116</v>
      </c>
      <c r="D53" s="3" t="s">
        <v>115</v>
      </c>
      <c r="E53" s="3" t="s">
        <v>9</v>
      </c>
      <c r="F53" s="12">
        <v>11.1</v>
      </c>
      <c r="G53" s="12">
        <v>5819.1</v>
      </c>
      <c r="H53" s="15">
        <v>195607791</v>
      </c>
      <c r="I53" s="12">
        <v>11.9</v>
      </c>
      <c r="J53" s="12">
        <v>5988.5</v>
      </c>
      <c r="K53" s="15">
        <v>210969512</v>
      </c>
      <c r="L53" s="12">
        <v>13.1</v>
      </c>
      <c r="M53" s="12">
        <v>6460.9</v>
      </c>
      <c r="N53" s="18">
        <v>233094973</v>
      </c>
    </row>
    <row r="54" spans="1:14" x14ac:dyDescent="0.3">
      <c r="A54" s="17">
        <v>13</v>
      </c>
      <c r="B54" s="3" t="s">
        <v>110</v>
      </c>
      <c r="C54" s="3" t="s">
        <v>118</v>
      </c>
      <c r="D54" s="3" t="s">
        <v>117</v>
      </c>
      <c r="E54" s="3" t="s">
        <v>9</v>
      </c>
      <c r="F54" s="12"/>
      <c r="G54" s="12"/>
      <c r="H54" s="15"/>
      <c r="I54" s="12">
        <v>1.4</v>
      </c>
      <c r="J54" s="12"/>
      <c r="K54" s="15">
        <v>24531422</v>
      </c>
      <c r="L54" s="12">
        <v>7.7</v>
      </c>
      <c r="M54" s="12"/>
      <c r="N54" s="18">
        <v>136542473</v>
      </c>
    </row>
    <row r="55" spans="1:14" s="10" customFormat="1" ht="15" thickBot="1" x14ac:dyDescent="0.35">
      <c r="A55" s="8"/>
      <c r="B55" s="9"/>
      <c r="C55" s="9"/>
      <c r="D55" s="9" t="s">
        <v>139</v>
      </c>
      <c r="E55" s="9"/>
      <c r="F55" s="13">
        <f>SUM(F2:F54)</f>
        <v>2869.3999999999996</v>
      </c>
      <c r="G55" s="13"/>
      <c r="H55" s="16">
        <f>SUM(H2:H54)</f>
        <v>50403671857</v>
      </c>
      <c r="I55" s="13">
        <f>SUM(I2:I54)</f>
        <v>3056.1000000000013</v>
      </c>
      <c r="J55" s="13"/>
      <c r="K55" s="16">
        <f>SUM(K2:K54)</f>
        <v>54017934738</v>
      </c>
      <c r="L55" s="13">
        <f>SUM(L2:L54)</f>
        <v>3276.9</v>
      </c>
      <c r="M55" s="13"/>
      <c r="N55" s="19">
        <f>SUM(N2:N54)</f>
        <v>58205232031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Toelichting</vt:lpstr>
      <vt:lpstr>niveau1</vt:lpstr>
      <vt:lpstr>niveau2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Beek, M. van</dc:creator>
  <cp:lastModifiedBy>Aslihan Dursun (1064413)</cp:lastModifiedBy>
  <dcterms:created xsi:type="dcterms:W3CDTF">2025-11-24T15:41:00Z</dcterms:created>
  <dcterms:modified xsi:type="dcterms:W3CDTF">2025-12-14T14:00:23Z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